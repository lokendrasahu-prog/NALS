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1ab63c5f3d0588/Desktop/Nals practical assignment/New folder/"/>
    </mc:Choice>
  </mc:AlternateContent>
  <xr:revisionPtr revIDLastSave="0" documentId="8_{0986A675-921C-42DF-B211-46C68D60A856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Store Sales" sheetId="1" r:id="rId1"/>
    <sheet name="Summary" sheetId="2" r:id="rId2"/>
    <sheet name="Charts" sheetId="3" r:id="rId3"/>
  </sheets>
  <definedNames>
    <definedName name="_xlnm._FilterDatabase" localSheetId="0" hidden="1">'Store Sales'!$A$1:$F$15</definedName>
    <definedName name="_xlnm._FilterDatabase" localSheetId="1" hidden="1">Summary!$A$1:$C$1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  <c r="B22" i="2"/>
  <c r="B23" i="2"/>
  <c r="B21" i="2"/>
  <c r="B20" i="2"/>
  <c r="B1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K23" i="1"/>
  <c r="K22" i="1"/>
  <c r="K21" i="1"/>
  <c r="K20" i="1"/>
  <c r="K19" i="1"/>
  <c r="K18" i="1"/>
  <c r="K17" i="1"/>
  <c r="K16" i="1"/>
  <c r="K14" i="1"/>
  <c r="K9" i="1"/>
  <c r="K7" i="1"/>
  <c r="J23" i="1"/>
  <c r="J22" i="1"/>
  <c r="J21" i="1"/>
  <c r="J20" i="1"/>
  <c r="J19" i="1"/>
  <c r="J18" i="1"/>
  <c r="J17" i="1"/>
  <c r="J16" i="1"/>
  <c r="J14" i="1"/>
  <c r="J9" i="1"/>
  <c r="J7" i="1"/>
  <c r="J6" i="1"/>
  <c r="I6" i="1" a="1"/>
  <c r="I6" i="1" s="1"/>
  <c r="H6" i="1" a="1"/>
  <c r="H6" i="1" s="1"/>
  <c r="G14" i="1"/>
  <c r="G9" i="1"/>
  <c r="G7" i="1"/>
  <c r="G6" i="1"/>
  <c r="F20" i="1"/>
  <c r="F17" i="1"/>
  <c r="F7" i="1"/>
  <c r="F6" i="1"/>
  <c r="K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<sst xmlns="http://schemas.openxmlformats.org/spreadsheetml/2006/main" count="80" uniqueCount="33">
  <si>
    <t>Date</t>
  </si>
  <si>
    <t>Product</t>
  </si>
  <si>
    <t>Category</t>
  </si>
  <si>
    <t>Quantity</t>
  </si>
  <si>
    <t>Price</t>
  </si>
  <si>
    <t>Laptop</t>
  </si>
  <si>
    <t>Electronics</t>
  </si>
  <si>
    <t>Smartphone</t>
  </si>
  <si>
    <t>Headphones</t>
  </si>
  <si>
    <t>Accessories</t>
  </si>
  <si>
    <t>Office Chair</t>
  </si>
  <si>
    <t>Furniture</t>
  </si>
  <si>
    <t>Desk</t>
  </si>
  <si>
    <t>Notebook</t>
  </si>
  <si>
    <t>Stationery</t>
  </si>
  <si>
    <t>Pen Pack</t>
  </si>
  <si>
    <t>Mouse</t>
  </si>
  <si>
    <t>Keyboard</t>
  </si>
  <si>
    <t>Bookshelf</t>
  </si>
  <si>
    <t>Calculator</t>
  </si>
  <si>
    <t>USB Drive</t>
  </si>
  <si>
    <t>TOTAL SALES</t>
  </si>
  <si>
    <t>Total Sales For Headphone Product</t>
  </si>
  <si>
    <t xml:space="preserve">First Three Letters Of Product Name </t>
  </si>
  <si>
    <t>Last 2 Letter Category</t>
  </si>
  <si>
    <t>Max</t>
  </si>
  <si>
    <t>Min</t>
  </si>
  <si>
    <t>Average</t>
  </si>
  <si>
    <t>Month</t>
  </si>
  <si>
    <t>Sum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</si>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</sst>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Summary!$A$2:$A$23</c:f>
              <c:strCache>
                <c:ptCount val="22"/>
                <c:pt idx="0">
                  <c:v>Jan</c:v>
                </c:pt>
                <c:pt idx="1">
                  <c:v>Jan</c:v>
                </c:pt>
                <c:pt idx="2">
                  <c:v>Feb</c:v>
                </c:pt>
                <c:pt idx="3">
                  <c:v>Feb</c:v>
                </c:pt>
                <c:pt idx="4">
                  <c:v>Mar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Jan</c:v>
                </c:pt>
                <c:pt idx="9">
                  <c:v>Feb</c:v>
                </c:pt>
                <c:pt idx="10">
                  <c:v>Mar</c:v>
                </c:pt>
                <c:pt idx="11">
                  <c:v>Mar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Mar</c:v>
                </c:pt>
                <c:pt idx="16">
                  <c:v>Feb</c:v>
                </c:pt>
                <c:pt idx="17">
                  <c:v>Jan</c:v>
                </c:pt>
                <c:pt idx="18">
                  <c:v>Jan</c:v>
                </c:pt>
                <c:pt idx="19">
                  <c:v>Mar</c:v>
                </c:pt>
                <c:pt idx="20">
                  <c:v>Mar</c:v>
                </c:pt>
                <c:pt idx="21">
                  <c:v>Mar</c:v>
                </c:pt>
              </c:strCache>
            </c:strRef>
          </c:cat>
          <c:val>
            <c:numRef>
              <c:f>Summary!$B$2:$B$23</c:f>
              <c:numCache>
                <c:formatCode>General</c:formatCode>
                <c:ptCount val="22"/>
                <c:pt idx="0">
                  <c:v>800</c:v>
                </c:pt>
                <c:pt idx="1">
                  <c:v>800</c:v>
                </c:pt>
                <c:pt idx="2">
                  <c:v>1040</c:v>
                </c:pt>
                <c:pt idx="3">
                  <c:v>1133.3333333333333</c:v>
                </c:pt>
                <c:pt idx="4">
                  <c:v>1085.7142857142858</c:v>
                </c:pt>
                <c:pt idx="5">
                  <c:v>1150</c:v>
                </c:pt>
                <c:pt idx="6">
                  <c:v>1412.5</c:v>
                </c:pt>
                <c:pt idx="7">
                  <c:v>1562.5</c:v>
                </c:pt>
                <c:pt idx="8">
                  <c:v>1555.5555555555557</c:v>
                </c:pt>
                <c:pt idx="9">
                  <c:v>1477.7777777777778</c:v>
                </c:pt>
                <c:pt idx="10">
                  <c:v>1477.7777777777778</c:v>
                </c:pt>
                <c:pt idx="11">
                  <c:v>1477.7777777777778</c:v>
                </c:pt>
                <c:pt idx="12">
                  <c:v>1477.7777777777778</c:v>
                </c:pt>
                <c:pt idx="13">
                  <c:v>1477.7777777777778</c:v>
                </c:pt>
                <c:pt idx="14">
                  <c:v>1562.5</c:v>
                </c:pt>
                <c:pt idx="15">
                  <c:v>1562.5</c:v>
                </c:pt>
                <c:pt idx="16">
                  <c:v>1500</c:v>
                </c:pt>
                <c:pt idx="17">
                  <c:v>1483.3333333333333</c:v>
                </c:pt>
                <c:pt idx="18">
                  <c:v>1620</c:v>
                </c:pt>
                <c:pt idx="19">
                  <c:v>1625</c:v>
                </c:pt>
                <c:pt idx="20">
                  <c:v>1333.3333333333333</c:v>
                </c:pt>
                <c:pt idx="2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B-4239-ADB2-13743029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255792"/>
        <c:axId val="1583254832"/>
      </c:barChart>
      <c:catAx>
        <c:axId val="15832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254832"/>
        <c:crosses val="autoZero"/>
        <c:auto val="1"/>
        <c:lblAlgn val="ctr"/>
        <c:lblOffset val="100"/>
        <c:noMultiLvlLbl val="0"/>
      </c:catAx>
      <c:valAx>
        <c:axId val="15832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25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6350</xdr:rowOff>
    </xdr:from>
    <xdr:to>
      <xdr:col>11</xdr:col>
      <xdr:colOff>330200</xdr:colOff>
      <xdr:row>18</xdr:row>
      <xdr:rowOff>139700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F6A9E2D-A799-49F7-566C-CB76911A1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3"/>
  <sheetViews>
    <sheetView zoomScale="80" zoomScaleNormal="80" workbookViewId="0">
      <selection activeCell="A5" sqref="A5"/>
    </sheetView>
  </sheetViews>
  <sheetFormatPr defaultRowHeight="20" x14ac:dyDescent="0.4"/>
  <cols>
    <col min="1" max="1" width="11.109375" customWidth="1"/>
    <col min="2" max="2" width="11.6640625" customWidth="1"/>
    <col min="3" max="3" width="11.5546875" customWidth="1"/>
    <col min="7" max="7" width="14.38671875" customWidth="1"/>
    <col min="8" max="8" width="15.94140625" customWidth="1"/>
  </cols>
  <sheetData>
    <row r="1" spans="1:11" ht="6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29.4" hidden="1" customHeight="1" x14ac:dyDescent="0.4">
      <c r="A2" s="3">
        <v>45669</v>
      </c>
      <c r="B2" s="4" t="s">
        <v>18</v>
      </c>
      <c r="C2" s="4" t="s">
        <v>11</v>
      </c>
      <c r="D2" s="4">
        <v>2</v>
      </c>
      <c r="E2" s="4">
        <v>180</v>
      </c>
      <c r="F2" s="4"/>
      <c r="H2" s="5"/>
    </row>
    <row r="3" spans="1:11" ht="36" hidden="1" customHeight="1" x14ac:dyDescent="0.4">
      <c r="A3" s="3">
        <v>45670</v>
      </c>
      <c r="B3" s="4" t="s">
        <v>19</v>
      </c>
      <c r="C3" s="4" t="s">
        <v>14</v>
      </c>
      <c r="D3" s="4">
        <v>7</v>
      </c>
      <c r="E3" s="4">
        <v>30</v>
      </c>
      <c r="F3" s="4"/>
    </row>
    <row r="4" spans="1:11" ht="31.75" hidden="1" customHeight="1" x14ac:dyDescent="0.4">
      <c r="A4" s="3">
        <v>45662</v>
      </c>
      <c r="B4" s="4" t="s">
        <v>12</v>
      </c>
      <c r="C4" s="4" t="s">
        <v>11</v>
      </c>
      <c r="D4" s="4">
        <v>2</v>
      </c>
      <c r="E4" s="4">
        <v>300</v>
      </c>
      <c r="F4" s="4"/>
    </row>
    <row r="5" spans="1:11" ht="27.5" customHeight="1" x14ac:dyDescent="0.4">
      <c r="A5" s="3">
        <v>45660</v>
      </c>
      <c r="B5" s="4" t="s">
        <v>8</v>
      </c>
      <c r="C5" s="4" t="s">
        <v>9</v>
      </c>
      <c r="D5" s="4">
        <v>10</v>
      </c>
      <c r="E5" s="4">
        <v>50</v>
      </c>
      <c r="F5" s="4"/>
    </row>
    <row r="6" spans="1:11" ht="30.65" customHeight="1" x14ac:dyDescent="0.4">
      <c r="A6" s="3">
        <v>45665</v>
      </c>
      <c r="B6" s="4" t="s">
        <v>8</v>
      </c>
      <c r="C6" s="4" t="s">
        <v>6</v>
      </c>
      <c r="D6" s="4">
        <v>1</v>
      </c>
      <c r="E6" s="4">
        <v>400</v>
      </c>
      <c r="F6" s="4">
        <f>D6*E6</f>
        <v>400</v>
      </c>
      <c r="G6">
        <f>SUMIF(B6:B14, "Headphones",F6:F14)</f>
        <v>3200</v>
      </c>
      <c r="H6" t="str" cm="1">
        <f t="array" ref="H6:H23">LEFT(B6:B23,3)</f>
        <v>Hea</v>
      </c>
      <c r="I6" t="str" cm="1">
        <f t="array" ref="I6:I23">RIGHT(C6:C23, 2)</f>
        <v>cs</v>
      </c>
      <c r="J6">
        <f>MAX(F6:F23)</f>
        <v>2500</v>
      </c>
      <c r="K6">
        <f>MIN(F6:F14)</f>
        <v>400</v>
      </c>
    </row>
    <row r="7" spans="1:11" ht="25.75" customHeight="1" x14ac:dyDescent="0.4">
      <c r="A7" s="3">
        <v>45668</v>
      </c>
      <c r="B7" s="4" t="s">
        <v>8</v>
      </c>
      <c r="C7" s="4" t="s">
        <v>6</v>
      </c>
      <c r="D7" s="4">
        <v>4</v>
      </c>
      <c r="E7" s="4">
        <v>200</v>
      </c>
      <c r="F7" s="4">
        <f>D7*E7</f>
        <v>800</v>
      </c>
      <c r="G7">
        <f>SUMIF(B7:B15, "Headphones",F7:F15)</f>
        <v>2800</v>
      </c>
      <c r="H7" t="str">
        <v>Hea</v>
      </c>
      <c r="I7" t="str">
        <v>cs</v>
      </c>
      <c r="J7">
        <f>MAX(F7:F24)</f>
        <v>2500</v>
      </c>
      <c r="K7">
        <f>MIN(F7:F15)</f>
        <v>800</v>
      </c>
    </row>
    <row r="8" spans="1:11" ht="36" hidden="1" customHeight="1" x14ac:dyDescent="0.4">
      <c r="A8" s="3">
        <v>45667</v>
      </c>
      <c r="B8" s="4" t="s">
        <v>17</v>
      </c>
      <c r="C8" s="4" t="s">
        <v>9</v>
      </c>
      <c r="D8" s="4">
        <v>6</v>
      </c>
      <c r="E8" s="4">
        <v>40</v>
      </c>
      <c r="F8" s="4"/>
      <c r="H8" t="str">
        <v>Key</v>
      </c>
      <c r="I8" t="str">
        <v>es</v>
      </c>
    </row>
    <row r="9" spans="1:11" x14ac:dyDescent="0.4">
      <c r="A9" s="2">
        <v>45691</v>
      </c>
      <c r="B9" t="s">
        <v>8</v>
      </c>
      <c r="C9" t="s">
        <v>6</v>
      </c>
      <c r="D9">
        <v>3</v>
      </c>
      <c r="E9">
        <v>400</v>
      </c>
      <c r="F9">
        <v>1200</v>
      </c>
      <c r="G9">
        <f>SUMIF(B9:B17, "Laptop",F9:F17)</f>
        <v>1600</v>
      </c>
      <c r="H9" t="str">
        <v>Hea</v>
      </c>
      <c r="I9" t="str">
        <v>cs</v>
      </c>
      <c r="J9">
        <f>MAX(F9:F26)</f>
        <v>2500</v>
      </c>
      <c r="K9">
        <f>MIN(F9:F17)</f>
        <v>800</v>
      </c>
    </row>
    <row r="10" spans="1:11" hidden="1" x14ac:dyDescent="0.4">
      <c r="A10" s="3">
        <v>45666</v>
      </c>
      <c r="B10" s="4" t="s">
        <v>16</v>
      </c>
      <c r="C10" s="4" t="s">
        <v>9</v>
      </c>
      <c r="D10" s="4">
        <v>8</v>
      </c>
      <c r="E10" s="4">
        <v>25</v>
      </c>
      <c r="F10" s="4"/>
      <c r="H10" t="str">
        <v>Mou</v>
      </c>
      <c r="I10" t="str">
        <v>es</v>
      </c>
    </row>
    <row r="11" spans="1:11" hidden="1" x14ac:dyDescent="0.4">
      <c r="A11" s="3">
        <v>45663</v>
      </c>
      <c r="B11" s="4" t="s">
        <v>13</v>
      </c>
      <c r="C11" s="4" t="s">
        <v>14</v>
      </c>
      <c r="D11" s="4">
        <v>20</v>
      </c>
      <c r="E11" s="4">
        <v>5</v>
      </c>
      <c r="F11" s="4"/>
      <c r="H11" t="str">
        <v>Not</v>
      </c>
      <c r="I11" t="str">
        <v>ry</v>
      </c>
    </row>
    <row r="12" spans="1:11" hidden="1" x14ac:dyDescent="0.4">
      <c r="A12" s="3">
        <v>45661</v>
      </c>
      <c r="B12" s="4" t="s">
        <v>10</v>
      </c>
      <c r="C12" s="4" t="s">
        <v>11</v>
      </c>
      <c r="D12" s="4">
        <v>3</v>
      </c>
      <c r="E12" s="4">
        <v>150</v>
      </c>
      <c r="F12" s="4"/>
      <c r="H12" t="str">
        <v>Off</v>
      </c>
      <c r="I12" t="str">
        <v>re</v>
      </c>
    </row>
    <row r="13" spans="1:11" hidden="1" x14ac:dyDescent="0.4">
      <c r="A13" s="3">
        <v>45664</v>
      </c>
      <c r="B13" s="4" t="s">
        <v>15</v>
      </c>
      <c r="C13" s="4" t="s">
        <v>14</v>
      </c>
      <c r="D13" s="4">
        <v>15</v>
      </c>
      <c r="E13" s="4">
        <v>10</v>
      </c>
      <c r="F13" s="4"/>
      <c r="H13" t="str">
        <v>Pen</v>
      </c>
      <c r="I13" t="str">
        <v>ry</v>
      </c>
    </row>
    <row r="14" spans="1:11" x14ac:dyDescent="0.4">
      <c r="A14" s="2">
        <v>45710</v>
      </c>
      <c r="B14" t="s">
        <v>8</v>
      </c>
      <c r="C14" t="s">
        <v>6</v>
      </c>
      <c r="D14">
        <v>2</v>
      </c>
      <c r="E14">
        <v>400</v>
      </c>
      <c r="F14">
        <v>800</v>
      </c>
      <c r="G14">
        <f>SUMIF(B14:B22, "Smartphone",F14:F22)</f>
        <v>6000</v>
      </c>
      <c r="H14" t="str">
        <v>Hea</v>
      </c>
      <c r="I14" t="str">
        <v>cs</v>
      </c>
      <c r="J14">
        <f>MAX(F14:F31)</f>
        <v>2500</v>
      </c>
      <c r="K14">
        <f>MIN(F14:F22)</f>
        <v>800</v>
      </c>
    </row>
    <row r="15" spans="1:11" hidden="1" x14ac:dyDescent="0.4">
      <c r="A15" s="3">
        <v>45671</v>
      </c>
      <c r="B15" s="4" t="s">
        <v>20</v>
      </c>
      <c r="C15" s="4" t="s">
        <v>9</v>
      </c>
      <c r="D15" s="4">
        <v>12</v>
      </c>
      <c r="E15" s="4">
        <v>15</v>
      </c>
      <c r="F15" s="4"/>
      <c r="H15" t="str">
        <v>USB</v>
      </c>
      <c r="I15" t="str">
        <v>es</v>
      </c>
    </row>
    <row r="16" spans="1:11" x14ac:dyDescent="0.4">
      <c r="A16" s="2">
        <v>45734</v>
      </c>
      <c r="B16" t="s">
        <v>8</v>
      </c>
      <c r="C16" t="s">
        <v>6</v>
      </c>
      <c r="D16">
        <v>5</v>
      </c>
      <c r="E16">
        <v>400</v>
      </c>
      <c r="F16">
        <v>2000</v>
      </c>
      <c r="H16" t="str">
        <v>Hea</v>
      </c>
      <c r="I16" t="str">
        <v>cs</v>
      </c>
      <c r="J16">
        <f t="shared" ref="J16:J23" si="0">MAX(F16:F33)</f>
        <v>2500</v>
      </c>
      <c r="K16">
        <f t="shared" ref="K16:K23" si="1">MIN(F16:F24)</f>
        <v>500</v>
      </c>
    </row>
    <row r="17" spans="1:11" x14ac:dyDescent="0.4">
      <c r="A17" s="3">
        <v>45658</v>
      </c>
      <c r="B17" s="4" t="s">
        <v>5</v>
      </c>
      <c r="C17" s="4" t="s">
        <v>6</v>
      </c>
      <c r="D17" s="4">
        <v>2</v>
      </c>
      <c r="E17" s="4">
        <v>800</v>
      </c>
      <c r="F17" s="4">
        <f>D17*E17</f>
        <v>1600</v>
      </c>
      <c r="H17" t="str">
        <v>Lap</v>
      </c>
      <c r="I17" t="str">
        <v>cs</v>
      </c>
      <c r="J17">
        <f t="shared" si="0"/>
        <v>2500</v>
      </c>
      <c r="K17">
        <f t="shared" si="1"/>
        <v>500</v>
      </c>
    </row>
    <row r="18" spans="1:11" x14ac:dyDescent="0.4">
      <c r="A18" s="2">
        <v>45695</v>
      </c>
      <c r="B18" t="s">
        <v>5</v>
      </c>
      <c r="C18" t="s">
        <v>6</v>
      </c>
      <c r="D18">
        <v>1</v>
      </c>
      <c r="E18">
        <v>800</v>
      </c>
      <c r="F18">
        <v>800</v>
      </c>
      <c r="H18" t="str">
        <v>Lap</v>
      </c>
      <c r="I18" t="str">
        <v>cs</v>
      </c>
      <c r="J18">
        <f t="shared" si="0"/>
        <v>2500</v>
      </c>
      <c r="K18">
        <f t="shared" si="1"/>
        <v>500</v>
      </c>
    </row>
    <row r="19" spans="1:11" x14ac:dyDescent="0.4">
      <c r="A19" s="2">
        <v>45726</v>
      </c>
      <c r="B19" t="s">
        <v>5</v>
      </c>
      <c r="C19" t="s">
        <v>6</v>
      </c>
      <c r="D19">
        <v>2</v>
      </c>
      <c r="E19">
        <v>800</v>
      </c>
      <c r="F19">
        <v>1600</v>
      </c>
      <c r="H19" t="str">
        <v>Lap</v>
      </c>
      <c r="I19" t="str">
        <v>cs</v>
      </c>
      <c r="J19">
        <f t="shared" si="0"/>
        <v>2500</v>
      </c>
      <c r="K19">
        <f t="shared" si="1"/>
        <v>500</v>
      </c>
    </row>
    <row r="20" spans="1:11" x14ac:dyDescent="0.4">
      <c r="A20" s="3">
        <v>45659</v>
      </c>
      <c r="B20" s="4" t="s">
        <v>7</v>
      </c>
      <c r="C20" s="4" t="s">
        <v>6</v>
      </c>
      <c r="D20" s="4">
        <v>5</v>
      </c>
      <c r="E20" s="4">
        <v>500</v>
      </c>
      <c r="F20" s="4">
        <f>D20*E20</f>
        <v>2500</v>
      </c>
      <c r="H20" t="str">
        <v>Sma</v>
      </c>
      <c r="I20" t="str">
        <v>cs</v>
      </c>
      <c r="J20">
        <f t="shared" si="0"/>
        <v>2500</v>
      </c>
      <c r="K20">
        <f t="shared" si="1"/>
        <v>500</v>
      </c>
    </row>
    <row r="21" spans="1:11" x14ac:dyDescent="0.4">
      <c r="A21" s="2">
        <v>45703</v>
      </c>
      <c r="B21" t="s">
        <v>7</v>
      </c>
      <c r="C21" t="s">
        <v>6</v>
      </c>
      <c r="D21">
        <v>4</v>
      </c>
      <c r="E21">
        <v>500</v>
      </c>
      <c r="F21">
        <v>2000</v>
      </c>
      <c r="H21" t="str">
        <v>Sma</v>
      </c>
      <c r="I21" t="str">
        <v>cs</v>
      </c>
      <c r="J21">
        <f t="shared" si="0"/>
        <v>2000</v>
      </c>
      <c r="K21">
        <f t="shared" si="1"/>
        <v>500</v>
      </c>
    </row>
    <row r="22" spans="1:11" x14ac:dyDescent="0.4">
      <c r="A22" s="2">
        <v>45718</v>
      </c>
      <c r="B22" t="s">
        <v>7</v>
      </c>
      <c r="C22" t="s">
        <v>6</v>
      </c>
      <c r="D22">
        <v>3</v>
      </c>
      <c r="E22">
        <v>500</v>
      </c>
      <c r="F22">
        <v>1500</v>
      </c>
      <c r="H22" t="str">
        <v>Sma</v>
      </c>
      <c r="I22" t="str">
        <v>cs</v>
      </c>
      <c r="J22">
        <f t="shared" si="0"/>
        <v>1500</v>
      </c>
      <c r="K22">
        <f t="shared" si="1"/>
        <v>500</v>
      </c>
    </row>
    <row r="23" spans="1:11" x14ac:dyDescent="0.4">
      <c r="A23" s="2">
        <v>45741</v>
      </c>
      <c r="B23" t="s">
        <v>7</v>
      </c>
      <c r="C23" t="s">
        <v>6</v>
      </c>
      <c r="D23">
        <v>1</v>
      </c>
      <c r="E23">
        <v>500</v>
      </c>
      <c r="F23">
        <v>500</v>
      </c>
      <c r="H23" t="str">
        <v>Sma</v>
      </c>
      <c r="I23" t="str">
        <v>cs</v>
      </c>
      <c r="J23">
        <f t="shared" si="0"/>
        <v>500</v>
      </c>
      <c r="K23">
        <f t="shared" si="1"/>
        <v>500</v>
      </c>
    </row>
  </sheetData>
  <autoFilter ref="A1:F15" xr:uid="{00000000-0001-0000-0000-000000000000}">
    <filterColumn colId="2">
      <filters>
        <filter val="Electronics"/>
      </filters>
    </filterColumn>
    <sortState xmlns:xlrd2="http://schemas.microsoft.com/office/spreadsheetml/2017/richdata2" ref="A6:F23">
      <sortCondition ref="B1:B15"/>
    </sortState>
  </autoFilter>
  <sortState xmlns:xlrd2="http://schemas.microsoft.com/office/spreadsheetml/2017/richdata2" ref="A2:F15">
    <sortCondition ref="B2:B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79BD-BE05-4E37-8D9A-7BEFBFEB4D78}">
  <dimension ref="A1:C23"/>
  <sheetViews>
    <sheetView topLeftCell="A7" workbookViewId="0">
      <selection sqref="A1:B23"/>
    </sheetView>
  </sheetViews>
  <sheetFormatPr defaultRowHeight="20" x14ac:dyDescent="0.4"/>
  <cols>
    <col min="1" max="1" width="9.609375" customWidth="1"/>
    <col min="2" max="2" width="13.33203125" customWidth="1"/>
  </cols>
  <sheetData>
    <row r="1" spans="1:3" ht="27.65" customHeight="1" x14ac:dyDescent="0.4">
      <c r="A1" s="6" t="s">
        <v>28</v>
      </c>
      <c r="B1" t="s">
        <v>27</v>
      </c>
      <c r="C1" t="s">
        <v>29</v>
      </c>
    </row>
    <row r="2" spans="1:3" x14ac:dyDescent="0.4">
      <c r="A2" t="s">
        <v>30</v>
      </c>
      <c r="B2">
        <f>AVERAGE('Store Sales'!F1:F14)</f>
        <v>800</v>
      </c>
      <c r="C2">
        <f>SUM('Store Sales'!A1603-'Store Sales'!A1603)</f>
        <v>0</v>
      </c>
    </row>
    <row r="3" spans="1:3" x14ac:dyDescent="0.4">
      <c r="A3" t="s">
        <v>30</v>
      </c>
      <c r="B3">
        <f>AVERAGE('Store Sales'!F2:F15)</f>
        <v>800</v>
      </c>
      <c r="C3">
        <f>SUM('Store Sales'!A1604-'Store Sales'!A1604)</f>
        <v>0</v>
      </c>
    </row>
    <row r="4" spans="1:3" x14ac:dyDescent="0.4">
      <c r="A4" t="s">
        <v>31</v>
      </c>
      <c r="B4">
        <f>AVERAGE('Store Sales'!F3:F16)</f>
        <v>1040</v>
      </c>
      <c r="C4">
        <f>SUM('Store Sales'!A1605-'Store Sales'!A1605)</f>
        <v>0</v>
      </c>
    </row>
    <row r="5" spans="1:3" x14ac:dyDescent="0.4">
      <c r="A5" t="s">
        <v>31</v>
      </c>
      <c r="B5">
        <f>AVERAGE('Store Sales'!F4:F17)</f>
        <v>1133.3333333333333</v>
      </c>
      <c r="C5">
        <f>SUM('Store Sales'!A1606-'Store Sales'!A1606)</f>
        <v>0</v>
      </c>
    </row>
    <row r="6" spans="1:3" x14ac:dyDescent="0.4">
      <c r="A6" t="s">
        <v>32</v>
      </c>
      <c r="B6">
        <f>AVERAGE('Store Sales'!F5:F18)</f>
        <v>1085.7142857142858</v>
      </c>
      <c r="C6">
        <f>SUM('Store Sales'!A1607-'Store Sales'!A1607)</f>
        <v>0</v>
      </c>
    </row>
    <row r="7" spans="1:3" x14ac:dyDescent="0.4">
      <c r="A7" t="s">
        <v>30</v>
      </c>
      <c r="B7">
        <f>AVERAGE('Store Sales'!F6:F19)</f>
        <v>1150</v>
      </c>
      <c r="C7">
        <f>SUM('Store Sales'!A1608-'Store Sales'!A1608)</f>
        <v>0</v>
      </c>
    </row>
    <row r="8" spans="1:3" x14ac:dyDescent="0.4">
      <c r="A8" t="s">
        <v>31</v>
      </c>
      <c r="B8">
        <f>AVERAGE('Store Sales'!F7:F20)</f>
        <v>1412.5</v>
      </c>
      <c r="C8">
        <f>SUM('Store Sales'!A1609-'Store Sales'!A1609)</f>
        <v>0</v>
      </c>
    </row>
    <row r="9" spans="1:3" x14ac:dyDescent="0.4">
      <c r="A9" t="s">
        <v>32</v>
      </c>
      <c r="B9">
        <f>AVERAGE('Store Sales'!F8:F21)</f>
        <v>1562.5</v>
      </c>
      <c r="C9">
        <f>SUM('Store Sales'!A1610-'Store Sales'!A1610)</f>
        <v>0</v>
      </c>
    </row>
    <row r="10" spans="1:3" x14ac:dyDescent="0.4">
      <c r="A10" t="s">
        <v>30</v>
      </c>
      <c r="B10">
        <f>AVERAGE('Store Sales'!F9:F22)</f>
        <v>1555.5555555555557</v>
      </c>
      <c r="C10">
        <f>SUM('Store Sales'!A1611-'Store Sales'!A1611)</f>
        <v>0</v>
      </c>
    </row>
    <row r="11" spans="1:3" x14ac:dyDescent="0.4">
      <c r="A11" t="s">
        <v>31</v>
      </c>
      <c r="B11">
        <f>AVERAGE('Store Sales'!F10:F23)</f>
        <v>1477.7777777777778</v>
      </c>
      <c r="C11">
        <f>SUM('Store Sales'!A1612-'Store Sales'!A1612)</f>
        <v>0</v>
      </c>
    </row>
    <row r="12" spans="1:3" x14ac:dyDescent="0.4">
      <c r="A12" t="s">
        <v>32</v>
      </c>
      <c r="B12">
        <f>AVERAGE('Store Sales'!F11:F24)</f>
        <v>1477.7777777777778</v>
      </c>
      <c r="C12">
        <f>SUM('Store Sales'!A1613-'Store Sales'!A1613)</f>
        <v>0</v>
      </c>
    </row>
    <row r="13" spans="1:3" x14ac:dyDescent="0.4">
      <c r="A13" t="s">
        <v>32</v>
      </c>
      <c r="B13">
        <f>AVERAGE('Store Sales'!F12:F25)</f>
        <v>1477.7777777777778</v>
      </c>
      <c r="C13">
        <f>SUM('Store Sales'!A1614-'Store Sales'!A1614)</f>
        <v>0</v>
      </c>
    </row>
    <row r="14" spans="1:3" x14ac:dyDescent="0.4">
      <c r="A14" t="s">
        <v>30</v>
      </c>
      <c r="B14">
        <f>AVERAGE('Store Sales'!F13:F26)</f>
        <v>1477.7777777777778</v>
      </c>
      <c r="C14">
        <f>SUM('Store Sales'!A1615-'Store Sales'!A1615)</f>
        <v>0</v>
      </c>
    </row>
    <row r="15" spans="1:3" x14ac:dyDescent="0.4">
      <c r="A15" t="s">
        <v>31</v>
      </c>
      <c r="B15">
        <f>AVERAGE('Store Sales'!F14:F27)</f>
        <v>1477.7777777777778</v>
      </c>
      <c r="C15">
        <f>SUM('Store Sales'!A1616-'Store Sales'!A1616)</f>
        <v>0</v>
      </c>
    </row>
    <row r="16" spans="1:3" x14ac:dyDescent="0.4">
      <c r="A16" t="s">
        <v>32</v>
      </c>
      <c r="B16">
        <f>AVERAGE('Store Sales'!F15:F28)</f>
        <v>1562.5</v>
      </c>
      <c r="C16">
        <f>SUM('Store Sales'!A1617-'Store Sales'!A1617)</f>
        <v>0</v>
      </c>
    </row>
    <row r="17" spans="1:3" x14ac:dyDescent="0.4">
      <c r="A17" t="s">
        <v>32</v>
      </c>
      <c r="B17">
        <f>AVERAGE('Store Sales'!F16:F29)</f>
        <v>1562.5</v>
      </c>
      <c r="C17">
        <f>SUM('Store Sales'!A1618-'Store Sales'!A1618)</f>
        <v>0</v>
      </c>
    </row>
    <row r="18" spans="1:3" x14ac:dyDescent="0.4">
      <c r="A18" t="s">
        <v>31</v>
      </c>
      <c r="B18">
        <f>AVERAGE('Store Sales'!F17:F30)</f>
        <v>1500</v>
      </c>
      <c r="C18">
        <f>SUM('Store Sales'!A1619-'Store Sales'!A1619)</f>
        <v>0</v>
      </c>
    </row>
    <row r="19" spans="1:3" x14ac:dyDescent="0.4">
      <c r="A19" t="s">
        <v>30</v>
      </c>
      <c r="B19">
        <f>AVERAGE('Store Sales'!F18:F31)</f>
        <v>1483.3333333333333</v>
      </c>
      <c r="C19">
        <f>SUM('Store Sales'!A1620-'Store Sales'!A1620)</f>
        <v>0</v>
      </c>
    </row>
    <row r="20" spans="1:3" x14ac:dyDescent="0.4">
      <c r="A20" t="s">
        <v>30</v>
      </c>
      <c r="B20">
        <f>AVERAGE('Store Sales'!F19:F32)</f>
        <v>1620</v>
      </c>
      <c r="C20">
        <f>SUM('Store Sales'!A1621-'Store Sales'!A1621)</f>
        <v>0</v>
      </c>
    </row>
    <row r="21" spans="1:3" x14ac:dyDescent="0.4">
      <c r="A21" t="s">
        <v>32</v>
      </c>
      <c r="B21">
        <f>AVERAGE('Store Sales'!F20:F33)</f>
        <v>1625</v>
      </c>
      <c r="C21">
        <f>SUM('Store Sales'!A1622-'Store Sales'!A1622)</f>
        <v>0</v>
      </c>
    </row>
    <row r="22" spans="1:3" x14ac:dyDescent="0.4">
      <c r="A22" t="s">
        <v>32</v>
      </c>
      <c r="B22">
        <f>AVERAGE('Store Sales'!F21:F34)</f>
        <v>1333.3333333333333</v>
      </c>
      <c r="C22">
        <f>SUM('Store Sales'!A1623-'Store Sales'!A1623)</f>
        <v>0</v>
      </c>
    </row>
    <row r="23" spans="1:3" x14ac:dyDescent="0.4">
      <c r="A23" t="s">
        <v>32</v>
      </c>
      <c r="B23">
        <f>AVERAGE('Store Sales'!F22:F35)</f>
        <v>1000</v>
      </c>
      <c r="C23">
        <f>SUM('Store Sales'!A1624-'Store Sales'!A1624)</f>
        <v>0</v>
      </c>
    </row>
  </sheetData>
  <autoFilter ref="A1:C1" xr:uid="{F13D79BD-BE05-4E37-8D9A-7BEFBFEB4D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8CC1-29FB-4AC0-8C40-FF1EF5A9B7C5}">
  <dimension ref="A1"/>
  <sheetViews>
    <sheetView tabSelected="1" workbookViewId="0"/>
  </sheetViews>
  <sheetFormatPr defaultRowHeight="20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Sales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Lokendra Sahu</cp:lastModifiedBy>
  <dcterms:created xsi:type="dcterms:W3CDTF">2025-12-24T02:11:32Z</dcterms:created>
  <dcterms:modified xsi:type="dcterms:W3CDTF">2026-01-03T15:34:55Z</dcterms:modified>
</cp:coreProperties>
</file>