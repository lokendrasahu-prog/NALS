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51ab63c5f3d0588/Desktop/Nals practical assignment/New folder/"/>
    </mc:Choice>
  </mc:AlternateContent>
  <xr:revisionPtr revIDLastSave="0" documentId="8_{4C927167-37E0-4F5E-B4A8-F08DA8065222}" xr6:coauthVersionLast="47" xr6:coauthVersionMax="47" xr10:uidLastSave="{00000000-0000-0000-0000-000000000000}"/>
  <bookViews>
    <workbookView xWindow="1740" yWindow="1740" windowWidth="14400" windowHeight="8170" xr2:uid="{00000000-000D-0000-FFFF-FFFF00000000}"/>
  </bookViews>
  <sheets>
    <sheet name="Sheet1" sheetId="1" r:id="rId1"/>
    <sheet name="Marks analysis" sheetId="2" r:id="rId2"/>
    <sheet name="Char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B19" i="1"/>
  <c r="B18" i="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2" i="2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2" i="1"/>
</calcChain>
</file>

<file path=xl/sharedStrings.xml><?xml version="1.0" encoding="utf-8"?>
<sst xmlns="http://schemas.openxmlformats.org/spreadsheetml/2006/main" count="90" uniqueCount="51">
  <si>
    <t>Name</t>
  </si>
  <si>
    <t>Roll No</t>
  </si>
  <si>
    <t>Class</t>
  </si>
  <si>
    <t>City</t>
  </si>
  <si>
    <t>Subj1</t>
  </si>
  <si>
    <t>Marks1</t>
  </si>
  <si>
    <t>Subj2</t>
  </si>
  <si>
    <t>Marks2</t>
  </si>
  <si>
    <t>Subj3</t>
  </si>
  <si>
    <t>Marks3</t>
  </si>
  <si>
    <t>Total Marks</t>
  </si>
  <si>
    <t>Rahul Verma</t>
  </si>
  <si>
    <t>Math</t>
  </si>
  <si>
    <t>Science</t>
  </si>
  <si>
    <t>English</t>
  </si>
  <si>
    <t>Neha Sharma</t>
  </si>
  <si>
    <t>Jaipur</t>
  </si>
  <si>
    <t>History</t>
  </si>
  <si>
    <t>Aman Khan</t>
  </si>
  <si>
    <t>Lucknow</t>
  </si>
  <si>
    <t>Computer</t>
  </si>
  <si>
    <t>Pooja Patel</t>
  </si>
  <si>
    <t>Surat</t>
  </si>
  <si>
    <t>Hindi</t>
  </si>
  <si>
    <t>Suresh Das</t>
  </si>
  <si>
    <t>Geography</t>
  </si>
  <si>
    <t>Ankit Singh</t>
  </si>
  <si>
    <t>Patna</t>
  </si>
  <si>
    <t>Riya Gupta</t>
  </si>
  <si>
    <t>Noida</t>
  </si>
  <si>
    <t>Mohit Jain</t>
  </si>
  <si>
    <t>Indore</t>
  </si>
  <si>
    <t>Sneha Iyer</t>
  </si>
  <si>
    <t>Chennai</t>
  </si>
  <si>
    <t>Karan Malhotra</t>
  </si>
  <si>
    <t>Chandigarh</t>
  </si>
  <si>
    <t>Aditi Rao</t>
  </si>
  <si>
    <t>Bengaluru</t>
  </si>
  <si>
    <t>Nikhil Pawar</t>
  </si>
  <si>
    <t>Pune</t>
  </si>
  <si>
    <t>Simran Kaur</t>
  </si>
  <si>
    <t>Punjabi</t>
  </si>
  <si>
    <t>Arjun Mehta</t>
  </si>
  <si>
    <t>Mumbai</t>
  </si>
  <si>
    <t>Kavya Nair</t>
  </si>
  <si>
    <t>Kochi</t>
  </si>
  <si>
    <t>Delhiiii</t>
  </si>
  <si>
    <t>Average</t>
  </si>
  <si>
    <t>Pass/Fail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</si>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</sst>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6"/>
      <color theme="1"/>
      <name val="Arial"/>
      <family val="2"/>
    </font>
    <font>
      <b/>
      <sz val="1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0446719"/>
        <c:axId val="1160447199"/>
      </c:barChart>
      <c:catAx>
        <c:axId val="1160446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447199"/>
        <c:crosses val="autoZero"/>
        <c:auto val="1"/>
        <c:lblAlgn val="ctr"/>
        <c:lblOffset val="100"/>
        <c:noMultiLvlLbl val="0"/>
      </c:catAx>
      <c:valAx>
        <c:axId val="1160447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446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22198622677075E-2"/>
          <c:y val="0.25267980463767925"/>
          <c:w val="0.89019685039370078"/>
          <c:h val="0.6457578740157480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Sheet1!$E$2:$E$16</c:f>
              <c:strCache>
                <c:ptCount val="15"/>
                <c:pt idx="0">
                  <c:v>Math</c:v>
                </c:pt>
                <c:pt idx="1">
                  <c:v>Math</c:v>
                </c:pt>
                <c:pt idx="2">
                  <c:v>Math</c:v>
                </c:pt>
                <c:pt idx="3">
                  <c:v>Math</c:v>
                </c:pt>
                <c:pt idx="4">
                  <c:v>Math</c:v>
                </c:pt>
                <c:pt idx="5">
                  <c:v>Math</c:v>
                </c:pt>
                <c:pt idx="6">
                  <c:v>Math</c:v>
                </c:pt>
                <c:pt idx="7">
                  <c:v>Math</c:v>
                </c:pt>
                <c:pt idx="8">
                  <c:v>Math</c:v>
                </c:pt>
                <c:pt idx="9">
                  <c:v>Math</c:v>
                </c:pt>
                <c:pt idx="10">
                  <c:v>Math</c:v>
                </c:pt>
                <c:pt idx="11">
                  <c:v>Math</c:v>
                </c:pt>
                <c:pt idx="12">
                  <c:v>Math</c:v>
                </c:pt>
                <c:pt idx="13">
                  <c:v>Math</c:v>
                </c:pt>
                <c:pt idx="14">
                  <c:v>Science</c:v>
                </c:pt>
              </c:strCache>
            </c:strRef>
          </c:cat>
          <c:val>
            <c:numRef>
              <c:f>Sheet1!$F$2:$F$16</c:f>
              <c:numCache>
                <c:formatCode>General</c:formatCode>
                <c:ptCount val="15"/>
                <c:pt idx="0">
                  <c:v>78</c:v>
                </c:pt>
                <c:pt idx="1">
                  <c:v>85</c:v>
                </c:pt>
                <c:pt idx="2">
                  <c:v>90</c:v>
                </c:pt>
                <c:pt idx="3">
                  <c:v>50</c:v>
                </c:pt>
                <c:pt idx="4">
                  <c:v>88</c:v>
                </c:pt>
                <c:pt idx="5">
                  <c:v>60</c:v>
                </c:pt>
                <c:pt idx="6">
                  <c:v>92</c:v>
                </c:pt>
                <c:pt idx="7">
                  <c:v>81</c:v>
                </c:pt>
                <c:pt idx="8">
                  <c:v>90</c:v>
                </c:pt>
                <c:pt idx="9">
                  <c:v>74</c:v>
                </c:pt>
                <c:pt idx="10">
                  <c:v>86</c:v>
                </c:pt>
                <c:pt idx="11">
                  <c:v>89</c:v>
                </c:pt>
                <c:pt idx="12">
                  <c:v>80</c:v>
                </c:pt>
                <c:pt idx="13">
                  <c:v>93</c:v>
                </c:pt>
                <c:pt idx="14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79-4BE2-A336-962E5072D94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547721503"/>
        <c:axId val="1613451967"/>
      </c:barChart>
      <c:catAx>
        <c:axId val="1547721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451967"/>
        <c:crosses val="autoZero"/>
        <c:auto val="1"/>
        <c:lblAlgn val="ctr"/>
        <c:lblOffset val="100"/>
        <c:noMultiLvlLbl val="0"/>
      </c:catAx>
      <c:valAx>
        <c:axId val="161345196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547721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FEE-4A3F-A13A-5604004778E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FEE-4A3F-A13A-5604004778E8}"/>
              </c:ext>
            </c:extLst>
          </c:dPt>
          <c:cat>
            <c:strRef>
              <c:f>Sheet1!$A$18:$A$19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f>Sheet1!$B$18:$B$19</c:f>
              <c:numCache>
                <c:formatCode>General</c:formatCode>
                <c:ptCount val="2"/>
                <c:pt idx="0">
                  <c:v>13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FEE-4A3F-A13A-5604004778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676234</xdr:colOff>
      <xdr:row>6</xdr:row>
      <xdr:rowOff>495300</xdr:rowOff>
    </xdr:from>
    <xdr:to>
      <xdr:col>19</xdr:col>
      <xdr:colOff>940130</xdr:colOff>
      <xdr:row>7</xdr:row>
      <xdr:rowOff>140195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A46FA22-AA85-9862-4006-B197730C84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915147</xdr:colOff>
      <xdr:row>41</xdr:row>
      <xdr:rowOff>149412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3FFA78-EBD8-757A-4D1C-6F28CD3497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933824</xdr:colOff>
      <xdr:row>0</xdr:row>
      <xdr:rowOff>56030</xdr:rowOff>
    </xdr:from>
    <xdr:to>
      <xdr:col>32</xdr:col>
      <xdr:colOff>288637</xdr:colOff>
      <xdr:row>41</xdr:row>
      <xdr:rowOff>86591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1E7ACBE1-64A7-06DD-3F6A-9CF04CED9E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605B7E-1E8A-4672-911D-31112CB1C920}" name="Table1" displayName="Table1" ref="A1:L19" totalsRowShown="0" headerRowDxfId="3">
  <autoFilter ref="A1:L19" xr:uid="{82605B7E-1E8A-4672-911D-31112CB1C920}"/>
  <tableColumns count="12">
    <tableColumn id="1" xr3:uid="{F00B7288-E9D9-4EA0-B693-1EBBC17FDEE0}" name="Name" dataDxfId="2"/>
    <tableColumn id="2" xr3:uid="{BBED0698-D39A-49C7-84B8-40B7F151DECB}" name="Roll No"/>
    <tableColumn id="3" xr3:uid="{AEEB16B4-28ED-4979-ABC7-1E2524A4F24E}" name="Class"/>
    <tableColumn id="4" xr3:uid="{3DA189C3-D8DF-46C4-B514-C616770337BB}" name="City"/>
    <tableColumn id="5" xr3:uid="{14354EFC-ABFB-4AB9-8409-43BB1EB868BF}" name="Subj1"/>
    <tableColumn id="6" xr3:uid="{4601351F-BCE3-43F9-BB32-6FC795127D6F}" name="Marks1"/>
    <tableColumn id="7" xr3:uid="{E2E3C1C0-2420-4709-8EF4-28D326F9C0D6}" name="Subj2"/>
    <tableColumn id="8" xr3:uid="{51D58970-52E3-41D2-911F-41A10D73DC37}" name="Marks2"/>
    <tableColumn id="9" xr3:uid="{BB9F03A0-CC4C-45BE-A7FA-9B16844FD0CE}" name="Subj3"/>
    <tableColumn id="10" xr3:uid="{0D45617A-EE7C-4941-AC04-C02288271177}" name="Marks3"/>
    <tableColumn id="11" xr3:uid="{F1CC37BF-B467-4B6A-B820-4974CC19A74A}" name="Total Marks" dataDxfId="1"/>
    <tableColumn id="12" xr3:uid="{30438A60-11E6-4B5E-AA59-73F7889716DD}" name="Pass/Fai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zoomScale="62" zoomScaleNormal="62" workbookViewId="0">
      <selection activeCell="N14" sqref="N14"/>
    </sheetView>
  </sheetViews>
  <sheetFormatPr defaultRowHeight="20" x14ac:dyDescent="0.4"/>
  <cols>
    <col min="11" max="11" width="11.77734375" customWidth="1"/>
    <col min="12" max="12" width="9.609375" customWidth="1"/>
  </cols>
  <sheetData>
    <row r="1" spans="1:1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48</v>
      </c>
    </row>
    <row r="2" spans="1:12" ht="40" x14ac:dyDescent="0.4">
      <c r="A2" s="2" t="s">
        <v>11</v>
      </c>
      <c r="B2" s="2">
        <v>1</v>
      </c>
      <c r="C2" s="2">
        <v>9</v>
      </c>
      <c r="D2" s="2" t="s">
        <v>46</v>
      </c>
      <c r="E2" s="2" t="s">
        <v>12</v>
      </c>
      <c r="F2" s="2">
        <v>78</v>
      </c>
      <c r="G2" s="2" t="s">
        <v>13</v>
      </c>
      <c r="H2" s="2">
        <v>82</v>
      </c>
      <c r="I2" s="2" t="s">
        <v>14</v>
      </c>
      <c r="J2" s="2">
        <v>75</v>
      </c>
      <c r="K2" s="2">
        <f>SUM(F2+H2+J2)</f>
        <v>235</v>
      </c>
      <c r="L2" t="str">
        <f>IF(K2&gt;120,"Pass","Fail")</f>
        <v>Pass</v>
      </c>
    </row>
    <row r="3" spans="1:12" ht="40" x14ac:dyDescent="0.4">
      <c r="A3" s="2" t="s">
        <v>15</v>
      </c>
      <c r="B3" s="2">
        <v>2</v>
      </c>
      <c r="C3" s="2">
        <v>9</v>
      </c>
      <c r="D3" s="2" t="s">
        <v>16</v>
      </c>
      <c r="E3" s="2" t="s">
        <v>12</v>
      </c>
      <c r="F3" s="2">
        <v>85</v>
      </c>
      <c r="G3" s="2" t="s">
        <v>17</v>
      </c>
      <c r="H3" s="2">
        <v>80</v>
      </c>
      <c r="I3" s="2" t="s">
        <v>13</v>
      </c>
      <c r="J3" s="2">
        <v>88</v>
      </c>
      <c r="K3" s="2">
        <f t="shared" ref="K3:K16" si="0">SUM(F3+H3+J3)</f>
        <v>253</v>
      </c>
      <c r="L3" t="str">
        <f t="shared" ref="L3:L16" si="1">IF(K3&gt;120,"Pass","Fail")</f>
        <v>Pass</v>
      </c>
    </row>
    <row r="4" spans="1:12" ht="40" x14ac:dyDescent="0.4">
      <c r="A4" s="2" t="s">
        <v>18</v>
      </c>
      <c r="B4" s="2">
        <v>3</v>
      </c>
      <c r="C4" s="2">
        <v>9</v>
      </c>
      <c r="D4" s="2" t="s">
        <v>19</v>
      </c>
      <c r="E4" s="2" t="s">
        <v>12</v>
      </c>
      <c r="F4" s="2">
        <v>90</v>
      </c>
      <c r="G4" s="2" t="s">
        <v>20</v>
      </c>
      <c r="H4" s="2">
        <v>92</v>
      </c>
      <c r="I4" s="2" t="s">
        <v>13</v>
      </c>
      <c r="J4" s="2">
        <v>86</v>
      </c>
      <c r="K4" s="2">
        <f t="shared" si="0"/>
        <v>268</v>
      </c>
      <c r="L4" t="str">
        <f t="shared" si="1"/>
        <v>Pass</v>
      </c>
    </row>
    <row r="5" spans="1:12" ht="40" x14ac:dyDescent="0.4">
      <c r="A5" s="2" t="s">
        <v>21</v>
      </c>
      <c r="B5" s="2">
        <v>4</v>
      </c>
      <c r="C5" s="2">
        <v>9</v>
      </c>
      <c r="D5" s="2" t="s">
        <v>22</v>
      </c>
      <c r="E5" s="2" t="s">
        <v>12</v>
      </c>
      <c r="F5" s="2">
        <v>50</v>
      </c>
      <c r="G5" s="2" t="s">
        <v>14</v>
      </c>
      <c r="H5" s="2">
        <v>10</v>
      </c>
      <c r="I5" s="2" t="s">
        <v>23</v>
      </c>
      <c r="J5" s="2">
        <v>40</v>
      </c>
      <c r="K5" s="2">
        <f t="shared" si="0"/>
        <v>100</v>
      </c>
      <c r="L5" t="str">
        <f t="shared" si="1"/>
        <v>Fail</v>
      </c>
    </row>
    <row r="6" spans="1:12" ht="40" x14ac:dyDescent="0.4">
      <c r="A6" s="2" t="s">
        <v>24</v>
      </c>
      <c r="B6" s="2">
        <v>5</v>
      </c>
      <c r="C6" s="2">
        <v>9</v>
      </c>
      <c r="D6" s="2" t="s">
        <v>46</v>
      </c>
      <c r="E6" s="2" t="s">
        <v>12</v>
      </c>
      <c r="F6" s="2">
        <v>88</v>
      </c>
      <c r="G6" s="2" t="s">
        <v>12</v>
      </c>
      <c r="H6" s="2">
        <v>84</v>
      </c>
      <c r="I6" s="2" t="s">
        <v>25</v>
      </c>
      <c r="J6" s="2">
        <v>79</v>
      </c>
      <c r="K6" s="2">
        <f t="shared" si="0"/>
        <v>251</v>
      </c>
      <c r="L6" t="str">
        <f t="shared" si="1"/>
        <v>Pass</v>
      </c>
    </row>
    <row r="7" spans="1:12" ht="40" x14ac:dyDescent="0.4">
      <c r="A7" s="2" t="s">
        <v>26</v>
      </c>
      <c r="B7" s="2">
        <v>6</v>
      </c>
      <c r="C7" s="2">
        <v>9</v>
      </c>
      <c r="D7" s="2" t="s">
        <v>27</v>
      </c>
      <c r="E7" s="2" t="s">
        <v>12</v>
      </c>
      <c r="F7" s="2">
        <v>60</v>
      </c>
      <c r="G7" s="2" t="s">
        <v>13</v>
      </c>
      <c r="H7" s="2">
        <v>10</v>
      </c>
      <c r="I7" s="2" t="s">
        <v>14</v>
      </c>
      <c r="J7" s="2">
        <v>20</v>
      </c>
      <c r="K7" s="2">
        <f t="shared" si="0"/>
        <v>90</v>
      </c>
      <c r="L7" t="str">
        <f t="shared" si="1"/>
        <v>Fail</v>
      </c>
    </row>
    <row r="8" spans="1:12" ht="40" x14ac:dyDescent="0.4">
      <c r="A8" s="2" t="s">
        <v>28</v>
      </c>
      <c r="B8" s="2">
        <v>7</v>
      </c>
      <c r="C8" s="2">
        <v>9</v>
      </c>
      <c r="D8" s="2" t="s">
        <v>29</v>
      </c>
      <c r="E8" s="2" t="s">
        <v>12</v>
      </c>
      <c r="F8" s="2">
        <v>92</v>
      </c>
      <c r="G8" s="2" t="s">
        <v>13</v>
      </c>
      <c r="H8" s="2">
        <v>89</v>
      </c>
      <c r="I8" s="2" t="s">
        <v>20</v>
      </c>
      <c r="J8" s="2">
        <v>94</v>
      </c>
      <c r="K8" s="2">
        <f t="shared" si="0"/>
        <v>275</v>
      </c>
      <c r="L8" t="str">
        <f t="shared" si="1"/>
        <v>Pass</v>
      </c>
    </row>
    <row r="9" spans="1:12" x14ac:dyDescent="0.4">
      <c r="A9" s="2" t="s">
        <v>30</v>
      </c>
      <c r="B9" s="2">
        <v>8</v>
      </c>
      <c r="C9" s="2">
        <v>9</v>
      </c>
      <c r="D9" s="2" t="s">
        <v>31</v>
      </c>
      <c r="E9" s="2" t="s">
        <v>12</v>
      </c>
      <c r="F9" s="2">
        <v>81</v>
      </c>
      <c r="G9" s="2" t="s">
        <v>14</v>
      </c>
      <c r="H9" s="2">
        <v>77</v>
      </c>
      <c r="I9" s="2" t="s">
        <v>13</v>
      </c>
      <c r="J9" s="2">
        <v>85</v>
      </c>
      <c r="K9" s="2">
        <f t="shared" si="0"/>
        <v>243</v>
      </c>
      <c r="L9" t="str">
        <f t="shared" si="1"/>
        <v>Pass</v>
      </c>
    </row>
    <row r="10" spans="1:12" ht="40" x14ac:dyDescent="0.4">
      <c r="A10" s="2" t="s">
        <v>32</v>
      </c>
      <c r="B10" s="2">
        <v>9</v>
      </c>
      <c r="C10" s="2">
        <v>9</v>
      </c>
      <c r="D10" s="2" t="s">
        <v>33</v>
      </c>
      <c r="E10" s="2" t="s">
        <v>12</v>
      </c>
      <c r="F10" s="2">
        <v>90</v>
      </c>
      <c r="G10" s="2" t="s">
        <v>12</v>
      </c>
      <c r="H10" s="2">
        <v>88</v>
      </c>
      <c r="I10" s="2" t="s">
        <v>14</v>
      </c>
      <c r="J10" s="2">
        <v>91</v>
      </c>
      <c r="K10" s="2">
        <f t="shared" si="0"/>
        <v>269</v>
      </c>
      <c r="L10" t="str">
        <f>IF(K10&gt;120,"Pass","Fail")</f>
        <v>Pass</v>
      </c>
    </row>
    <row r="11" spans="1:12" ht="40" x14ac:dyDescent="0.4">
      <c r="A11" s="2" t="s">
        <v>34</v>
      </c>
      <c r="B11" s="2">
        <v>10</v>
      </c>
      <c r="C11" s="2">
        <v>9</v>
      </c>
      <c r="D11" s="2" t="s">
        <v>35</v>
      </c>
      <c r="E11" s="2" t="s">
        <v>12</v>
      </c>
      <c r="F11" s="2">
        <v>74</v>
      </c>
      <c r="G11" s="2" t="s">
        <v>13</v>
      </c>
      <c r="H11" s="2">
        <v>79</v>
      </c>
      <c r="I11" s="2" t="s">
        <v>20</v>
      </c>
      <c r="J11" s="2">
        <v>82</v>
      </c>
      <c r="K11" s="2">
        <f t="shared" si="0"/>
        <v>235</v>
      </c>
      <c r="L11" t="str">
        <f t="shared" si="1"/>
        <v>Pass</v>
      </c>
    </row>
    <row r="12" spans="1:12" x14ac:dyDescent="0.4">
      <c r="A12" s="2" t="s">
        <v>36</v>
      </c>
      <c r="B12" s="2">
        <v>11</v>
      </c>
      <c r="C12" s="2">
        <v>9</v>
      </c>
      <c r="D12" s="2" t="s">
        <v>37</v>
      </c>
      <c r="E12" s="2" t="s">
        <v>12</v>
      </c>
      <c r="F12" s="2">
        <v>86</v>
      </c>
      <c r="G12" s="2" t="s">
        <v>17</v>
      </c>
      <c r="H12" s="2">
        <v>83</v>
      </c>
      <c r="I12" s="2" t="s">
        <v>13</v>
      </c>
      <c r="J12" s="2">
        <v>88</v>
      </c>
      <c r="K12" s="2">
        <f t="shared" si="0"/>
        <v>257</v>
      </c>
      <c r="L12" t="str">
        <f t="shared" si="1"/>
        <v>Pass</v>
      </c>
    </row>
    <row r="13" spans="1:12" ht="40" x14ac:dyDescent="0.4">
      <c r="A13" s="2" t="s">
        <v>38</v>
      </c>
      <c r="B13" s="2">
        <v>12</v>
      </c>
      <c r="C13" s="2">
        <v>9</v>
      </c>
      <c r="D13" s="2" t="s">
        <v>39</v>
      </c>
      <c r="E13" s="2" t="s">
        <v>12</v>
      </c>
      <c r="F13" s="2">
        <v>89</v>
      </c>
      <c r="G13" s="2" t="s">
        <v>13</v>
      </c>
      <c r="H13" s="2">
        <v>91</v>
      </c>
      <c r="I13" s="2" t="s">
        <v>25</v>
      </c>
      <c r="J13" s="2">
        <v>87</v>
      </c>
      <c r="K13" s="2">
        <f t="shared" si="0"/>
        <v>267</v>
      </c>
      <c r="L13" t="str">
        <f t="shared" si="1"/>
        <v>Pass</v>
      </c>
    </row>
    <row r="14" spans="1:12" ht="40" x14ac:dyDescent="0.4">
      <c r="A14" s="2" t="s">
        <v>40</v>
      </c>
      <c r="B14" s="2">
        <v>13</v>
      </c>
      <c r="C14" s="2">
        <v>9</v>
      </c>
      <c r="D14" s="2" t="s">
        <v>46</v>
      </c>
      <c r="E14" s="2" t="s">
        <v>12</v>
      </c>
      <c r="F14" s="2">
        <v>80</v>
      </c>
      <c r="G14" s="2" t="s">
        <v>41</v>
      </c>
      <c r="H14" s="2">
        <v>85</v>
      </c>
      <c r="I14" s="2" t="s">
        <v>13</v>
      </c>
      <c r="J14" s="2">
        <v>78</v>
      </c>
      <c r="K14" s="2">
        <f t="shared" si="0"/>
        <v>243</v>
      </c>
      <c r="L14" t="str">
        <f t="shared" si="1"/>
        <v>Pass</v>
      </c>
    </row>
    <row r="15" spans="1:12" ht="40" x14ac:dyDescent="0.4">
      <c r="A15" s="2" t="s">
        <v>42</v>
      </c>
      <c r="B15" s="2">
        <v>14</v>
      </c>
      <c r="C15" s="2">
        <v>9</v>
      </c>
      <c r="D15" s="2" t="s">
        <v>43</v>
      </c>
      <c r="E15" s="2" t="s">
        <v>12</v>
      </c>
      <c r="F15" s="2">
        <v>93</v>
      </c>
      <c r="G15" s="2" t="s">
        <v>13</v>
      </c>
      <c r="H15" s="2">
        <v>90</v>
      </c>
      <c r="I15" s="2" t="s">
        <v>14</v>
      </c>
      <c r="J15" s="2">
        <v>92</v>
      </c>
      <c r="K15" s="2">
        <f t="shared" si="0"/>
        <v>275</v>
      </c>
      <c r="L15" t="str">
        <f t="shared" si="1"/>
        <v>Pass</v>
      </c>
    </row>
    <row r="16" spans="1:12" ht="40" x14ac:dyDescent="0.4">
      <c r="A16" s="2" t="s">
        <v>44</v>
      </c>
      <c r="B16" s="2">
        <v>15</v>
      </c>
      <c r="C16" s="2">
        <v>9</v>
      </c>
      <c r="D16" s="2" t="s">
        <v>45</v>
      </c>
      <c r="E16" s="2" t="s">
        <v>13</v>
      </c>
      <c r="F16" s="2">
        <v>87</v>
      </c>
      <c r="G16" s="2" t="s">
        <v>12</v>
      </c>
      <c r="H16" s="2">
        <v>84</v>
      </c>
      <c r="I16" s="2" t="s">
        <v>14</v>
      </c>
      <c r="J16" s="2">
        <v>89</v>
      </c>
      <c r="K16" s="2">
        <f t="shared" si="0"/>
        <v>260</v>
      </c>
      <c r="L16" t="str">
        <f t="shared" si="1"/>
        <v>Pass</v>
      </c>
    </row>
    <row r="17" spans="1:11" x14ac:dyDescent="0.4">
      <c r="K17" s="2"/>
    </row>
    <row r="18" spans="1:11" x14ac:dyDescent="0.4">
      <c r="A18" s="2" t="s">
        <v>49</v>
      </c>
      <c r="B18">
        <f>COUNTIF(L2:L16,"Pass")</f>
        <v>13</v>
      </c>
    </row>
    <row r="19" spans="1:11" x14ac:dyDescent="0.4">
      <c r="A19" s="2" t="s">
        <v>50</v>
      </c>
      <c r="B19">
        <f>COUNTIF(L2:L16,"Fail")</f>
        <v>2</v>
      </c>
    </row>
  </sheetData>
  <conditionalFormatting sqref="K1:K16">
    <cfRule type="cellIs" dxfId="0" priority="1" operator="lessThan">
      <formula>150</formula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6"/>
  <sheetViews>
    <sheetView workbookViewId="0">
      <selection activeCell="A2" sqref="A2:A16"/>
    </sheetView>
  </sheetViews>
  <sheetFormatPr defaultRowHeight="20" x14ac:dyDescent="0.4"/>
  <sheetData>
    <row r="1" spans="1:1" x14ac:dyDescent="0.4">
      <c r="A1" t="s">
        <v>47</v>
      </c>
    </row>
    <row r="2" spans="1:1" x14ac:dyDescent="0.4">
      <c r="A2">
        <f>AVERAGE(Sheet1!F2,Sheet1!H2,Sheet1!J2)</f>
        <v>78.333333333333329</v>
      </c>
    </row>
    <row r="3" spans="1:1" x14ac:dyDescent="0.4">
      <c r="A3">
        <f>AVERAGE(Sheet1!F3,Sheet1!H3,Sheet1!J3)</f>
        <v>84.333333333333329</v>
      </c>
    </row>
    <row r="4" spans="1:1" x14ac:dyDescent="0.4">
      <c r="A4">
        <f>AVERAGE(Sheet1!F4,Sheet1!H4,Sheet1!J4)</f>
        <v>89.333333333333329</v>
      </c>
    </row>
    <row r="5" spans="1:1" x14ac:dyDescent="0.4">
      <c r="A5">
        <f>AVERAGE(Sheet1!F5,Sheet1!H5,Sheet1!J5)</f>
        <v>33.333333333333336</v>
      </c>
    </row>
    <row r="6" spans="1:1" x14ac:dyDescent="0.4">
      <c r="A6">
        <f>AVERAGE(Sheet1!F6,Sheet1!H6,Sheet1!J6)</f>
        <v>83.666666666666671</v>
      </c>
    </row>
    <row r="7" spans="1:1" x14ac:dyDescent="0.4">
      <c r="A7">
        <f>AVERAGE(Sheet1!F7,Sheet1!H7,Sheet1!J7)</f>
        <v>30</v>
      </c>
    </row>
    <row r="8" spans="1:1" x14ac:dyDescent="0.4">
      <c r="A8">
        <f>AVERAGE(Sheet1!F8,Sheet1!H8,Sheet1!J8)</f>
        <v>91.666666666666671</v>
      </c>
    </row>
    <row r="9" spans="1:1" x14ac:dyDescent="0.4">
      <c r="A9">
        <f>AVERAGE(Sheet1!F9,Sheet1!H9,Sheet1!J9)</f>
        <v>81</v>
      </c>
    </row>
    <row r="10" spans="1:1" x14ac:dyDescent="0.4">
      <c r="A10">
        <f>AVERAGE(Sheet1!F10,Sheet1!H10,Sheet1!J10)</f>
        <v>89.666666666666671</v>
      </c>
    </row>
    <row r="11" spans="1:1" x14ac:dyDescent="0.4">
      <c r="A11">
        <f>AVERAGE(Sheet1!F11,Sheet1!H11,Sheet1!J11)</f>
        <v>78.333333333333329</v>
      </c>
    </row>
    <row r="12" spans="1:1" x14ac:dyDescent="0.4">
      <c r="A12">
        <f>AVERAGE(Sheet1!F12,Sheet1!H12,Sheet1!J12)</f>
        <v>85.666666666666671</v>
      </c>
    </row>
    <row r="13" spans="1:1" x14ac:dyDescent="0.4">
      <c r="A13">
        <f>AVERAGE(Sheet1!F13,Sheet1!H13,Sheet1!J13)</f>
        <v>89</v>
      </c>
    </row>
    <row r="14" spans="1:1" x14ac:dyDescent="0.4">
      <c r="A14">
        <f>AVERAGE(Sheet1!F14,Sheet1!H14,Sheet1!J14)</f>
        <v>81</v>
      </c>
    </row>
    <row r="15" spans="1:1" x14ac:dyDescent="0.4">
      <c r="A15">
        <f>AVERAGE(Sheet1!F15,Sheet1!H15,Sheet1!J15)</f>
        <v>91.666666666666671</v>
      </c>
    </row>
    <row r="16" spans="1:1" x14ac:dyDescent="0.4">
      <c r="A16">
        <f>AVERAGE(Sheet1!F16,Sheet1!H16,Sheet1!J16)</f>
        <v>86.666666666666671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41" zoomScale="18" workbookViewId="0">
      <selection sqref="A1:XFD1"/>
    </sheetView>
  </sheetViews>
  <sheetFormatPr defaultRowHeight="20" x14ac:dyDescent="0.4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Marks analysis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Lokendra Sahu</cp:lastModifiedBy>
  <cp:lastPrinted>2025-12-26T04:21:32Z</cp:lastPrinted>
  <dcterms:created xsi:type="dcterms:W3CDTF">2025-12-21T10:26:24Z</dcterms:created>
  <dcterms:modified xsi:type="dcterms:W3CDTF">2026-01-03T13:35:01Z</dcterms:modified>
</cp:coreProperties>
</file>